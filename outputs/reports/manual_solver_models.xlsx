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1 - Integer" sheetId="1" state="visible" r:id="rId1"/>
    <sheet xmlns:r="http://schemas.openxmlformats.org/officeDocument/2006/relationships" name="Model 2 - Binary" sheetId="2" state="visible" r:id="rId2"/>
    <sheet xmlns:r="http://schemas.openxmlformats.org/officeDocument/2006/relationships" name="Expected answ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2" customWidth="1" min="3" max="3"/>
    <col width="12" customWidth="1" min="4" max="4"/>
    <col width="14" customWidth="1" min="5" max="5"/>
    <col width="16" customWidth="1" min="6" max="6"/>
    <col width="14" customWidth="1" min="7" max="7"/>
    <col width="16" customWidth="1" min="8" max="8"/>
    <col width="11" customWidth="1" min="9" max="9"/>
    <col width="12" customWidth="1" min="10" max="10"/>
    <col width="14" customWidth="1" min="11" max="11"/>
  </cols>
  <sheetData>
    <row r="1">
      <c r="A1" s="1" t="inlineStr">
        <is>
          <t>MODEL 1 - MINIMUM SECTION ALLOCATION (INTEGER PROGRAMMING)</t>
        </is>
      </c>
    </row>
    <row r="2">
      <c r="A2" t="inlineStr">
        <is>
          <t>Objective: open as few sections as possible.  Target: every student gets a seat.</t>
        </is>
      </c>
    </row>
    <row r="4">
      <c r="A4" s="2" t="inlineStr">
        <is>
          <t>Section capacity (cap)</t>
        </is>
      </c>
      <c r="B4" t="n">
        <v>50</v>
      </c>
    </row>
    <row r="7" ht="46" customHeight="1">
      <c r="A7" s="3" t="inlineStr">
        <is>
          <t>Course</t>
        </is>
      </c>
      <c r="B7" s="3" t="inlineStr">
        <is>
          <t>Course ID (dataset)</t>
        </is>
      </c>
      <c r="C7" s="3" t="inlineStr">
        <is>
          <t>Programme</t>
        </is>
      </c>
      <c r="D7" s="3" t="inlineStr">
        <is>
          <t>Demand D_c</t>
        </is>
      </c>
      <c r="E7" s="3" t="inlineStr">
        <is>
          <t>Required seats = D_c</t>
        </is>
      </c>
      <c r="F7" s="3" t="inlineStr">
        <is>
          <t>Sections x_c  &lt;-- CHANGING CELLS</t>
        </is>
      </c>
      <c r="G7" s="3" t="inlineStr">
        <is>
          <t>Seats provided = cap x x_c</t>
        </is>
      </c>
      <c r="H7" s="3" t="inlineStr">
        <is>
          <t>Slack = provided - required (must be &gt;= 0)</t>
        </is>
      </c>
      <c r="I7" s="3" t="inlineStr">
        <is>
          <t>Current sections</t>
        </is>
      </c>
      <c r="J7" s="3" t="inlineStr">
        <is>
          <t>Change = x_c - current</t>
        </is>
      </c>
      <c r="K7" s="3" t="inlineStr">
        <is>
          <t>Hand check = ROUNDUP(required/cap)</t>
        </is>
      </c>
    </row>
    <row r="8">
      <c r="A8" s="4" t="inlineStr">
        <is>
          <t>C1</t>
        </is>
      </c>
      <c r="B8" s="4" t="inlineStr">
        <is>
          <t>024e9489dcc6</t>
        </is>
      </c>
      <c r="C8" s="4" t="inlineStr">
        <is>
          <t>P1</t>
        </is>
      </c>
      <c r="D8" s="4" t="n">
        <v>346.87</v>
      </c>
      <c r="E8" s="4">
        <f>D8</f>
        <v/>
      </c>
      <c r="F8" s="4" t="n">
        <v>1</v>
      </c>
      <c r="G8" s="4">
        <f>$B$4*F8</f>
        <v/>
      </c>
      <c r="H8" s="4">
        <f>G8-E8</f>
        <v/>
      </c>
      <c r="I8" s="4" t="n">
        <v>6</v>
      </c>
      <c r="J8" s="4">
        <f>F8-I8</f>
        <v/>
      </c>
      <c r="K8" s="4">
        <f>ROUNDUP(E8/$B$4,0)</f>
        <v/>
      </c>
    </row>
    <row r="9">
      <c r="A9" s="4" t="inlineStr">
        <is>
          <t>C2</t>
        </is>
      </c>
      <c r="B9" s="4" t="inlineStr">
        <is>
          <t>55c753e07b45</t>
        </is>
      </c>
      <c r="C9" s="4" t="inlineStr">
        <is>
          <t>P1</t>
        </is>
      </c>
      <c r="D9" s="4" t="n">
        <v>291.99</v>
      </c>
      <c r="E9" s="4">
        <f>D9</f>
        <v/>
      </c>
      <c r="F9" s="4" t="n">
        <v>1</v>
      </c>
      <c r="G9" s="4">
        <f>$B$4*F9</f>
        <v/>
      </c>
      <c r="H9" s="4">
        <f>G9-E9</f>
        <v/>
      </c>
      <c r="I9" s="4" t="n">
        <v>5</v>
      </c>
      <c r="J9" s="4">
        <f>F9-I9</f>
        <v/>
      </c>
      <c r="K9" s="4">
        <f>ROUNDUP(E9/$B$4,0)</f>
        <v/>
      </c>
    </row>
    <row r="10">
      <c r="A10" s="4" t="inlineStr">
        <is>
          <t>C3</t>
        </is>
      </c>
      <c r="B10" s="4" t="inlineStr">
        <is>
          <t>7741d341a4ef</t>
        </is>
      </c>
      <c r="C10" s="4" t="inlineStr">
        <is>
          <t>P2</t>
        </is>
      </c>
      <c r="D10" s="4" t="n">
        <v>173.36</v>
      </c>
      <c r="E10" s="4">
        <f>D10</f>
        <v/>
      </c>
      <c r="F10" s="4" t="n">
        <v>1</v>
      </c>
      <c r="G10" s="4">
        <f>$B$4*F10</f>
        <v/>
      </c>
      <c r="H10" s="4">
        <f>G10-E10</f>
        <v/>
      </c>
      <c r="I10" s="4" t="n">
        <v>3</v>
      </c>
      <c r="J10" s="4">
        <f>F10-I10</f>
        <v/>
      </c>
      <c r="K10" s="4">
        <f>ROUNDUP(E10/$B$4,0)</f>
        <v/>
      </c>
    </row>
    <row r="11">
      <c r="A11" s="4" t="inlineStr">
        <is>
          <t>C4</t>
        </is>
      </c>
      <c r="B11" s="4" t="inlineStr">
        <is>
          <t>0d9a5484f79e</t>
        </is>
      </c>
      <c r="C11" s="4" t="inlineStr">
        <is>
          <t>P2</t>
        </is>
      </c>
      <c r="D11" s="4" t="n">
        <v>320.85</v>
      </c>
      <c r="E11" s="4">
        <f>D11</f>
        <v/>
      </c>
      <c r="F11" s="4" t="n">
        <v>1</v>
      </c>
      <c r="G11" s="4">
        <f>$B$4*F11</f>
        <v/>
      </c>
      <c r="H11" s="4">
        <f>G11-E11</f>
        <v/>
      </c>
      <c r="I11" s="4" t="n">
        <v>6</v>
      </c>
      <c r="J11" s="4">
        <f>F11-I11</f>
        <v/>
      </c>
      <c r="K11" s="4">
        <f>ROUNDUP(E11/$B$4,0)</f>
        <v/>
      </c>
    </row>
    <row r="12">
      <c r="A12" s="4" t="inlineStr">
        <is>
          <t>C5</t>
        </is>
      </c>
      <c r="B12" s="4" t="inlineStr">
        <is>
          <t>fc6b5f835bfb</t>
        </is>
      </c>
      <c r="C12" s="4" t="inlineStr">
        <is>
          <t>P3</t>
        </is>
      </c>
      <c r="D12" s="4" t="n">
        <v>218.39</v>
      </c>
      <c r="E12" s="4">
        <f>D12</f>
        <v/>
      </c>
      <c r="F12" s="4" t="n">
        <v>1</v>
      </c>
      <c r="G12" s="4">
        <f>$B$4*F12</f>
        <v/>
      </c>
      <c r="H12" s="4">
        <f>G12-E12</f>
        <v/>
      </c>
      <c r="I12" s="4" t="n">
        <v>4</v>
      </c>
      <c r="J12" s="4">
        <f>F12-I12</f>
        <v/>
      </c>
      <c r="K12" s="4">
        <f>ROUNDUP(E12/$B$4,0)</f>
        <v/>
      </c>
    </row>
    <row r="13">
      <c r="A13" s="4" t="inlineStr">
        <is>
          <t>C6</t>
        </is>
      </c>
      <c r="B13" s="4" t="inlineStr">
        <is>
          <t>d1710e41e0ad</t>
        </is>
      </c>
      <c r="C13" s="4" t="inlineStr">
        <is>
          <t>P1</t>
        </is>
      </c>
      <c r="D13" s="4" t="n">
        <v>266.87</v>
      </c>
      <c r="E13" s="4">
        <f>D13</f>
        <v/>
      </c>
      <c r="F13" s="4" t="n">
        <v>1</v>
      </c>
      <c r="G13" s="4">
        <f>$B$4*F13</f>
        <v/>
      </c>
      <c r="H13" s="4">
        <f>G13-E13</f>
        <v/>
      </c>
      <c r="I13" s="4" t="n">
        <v>5</v>
      </c>
      <c r="J13" s="4">
        <f>F13-I13</f>
        <v/>
      </c>
      <c r="K13" s="4">
        <f>ROUNDUP(E13/$B$4,0)</f>
        <v/>
      </c>
    </row>
    <row r="14">
      <c r="A14" s="4" t="inlineStr">
        <is>
          <t>C7</t>
        </is>
      </c>
      <c r="B14" s="4" t="inlineStr">
        <is>
          <t>9fad9fb565cc</t>
        </is>
      </c>
      <c r="C14" s="4" t="inlineStr">
        <is>
          <t>P1</t>
        </is>
      </c>
      <c r="D14" s="4" t="n">
        <v>266</v>
      </c>
      <c r="E14" s="4">
        <f>D14</f>
        <v/>
      </c>
      <c r="F14" s="4" t="n">
        <v>1</v>
      </c>
      <c r="G14" s="4">
        <f>$B$4*F14</f>
        <v/>
      </c>
      <c r="H14" s="4">
        <f>G14-E14</f>
        <v/>
      </c>
      <c r="I14" s="4" t="n">
        <v>5</v>
      </c>
      <c r="J14" s="4">
        <f>F14-I14</f>
        <v/>
      </c>
      <c r="K14" s="4">
        <f>ROUNDUP(E14/$B$4,0)</f>
        <v/>
      </c>
    </row>
    <row r="15">
      <c r="A15" s="4" t="inlineStr">
        <is>
          <t>C8</t>
        </is>
      </c>
      <c r="B15" s="4" t="inlineStr">
        <is>
          <t>21049fe0067f</t>
        </is>
      </c>
      <c r="C15" s="4" t="inlineStr">
        <is>
          <t>P2</t>
        </is>
      </c>
      <c r="D15" s="4" t="n">
        <v>315.66</v>
      </c>
      <c r="E15" s="4">
        <f>D15</f>
        <v/>
      </c>
      <c r="F15" s="4" t="n">
        <v>1</v>
      </c>
      <c r="G15" s="4">
        <f>$B$4*F15</f>
        <v/>
      </c>
      <c r="H15" s="4">
        <f>G15-E15</f>
        <v/>
      </c>
      <c r="I15" s="4" t="n">
        <v>6</v>
      </c>
      <c r="J15" s="4">
        <f>F15-I15</f>
        <v/>
      </c>
      <c r="K15" s="4">
        <f>ROUNDUP(E15/$B$4,0)</f>
        <v/>
      </c>
    </row>
    <row r="16">
      <c r="A16" s="5" t="inlineStr">
        <is>
          <t>TOTAL</t>
        </is>
      </c>
      <c r="B16" s="4" t="n"/>
      <c r="C16" s="4" t="n"/>
      <c r="D16" s="4">
        <f>SUM(D8:D15)</f>
        <v/>
      </c>
      <c r="E16" s="4" t="n"/>
      <c r="F16" s="5">
        <f>SUM(F8:F15)</f>
        <v/>
      </c>
      <c r="G16" s="4" t="n"/>
      <c r="H16" s="4" t="n"/>
      <c r="I16" s="4">
        <f>SUM(I8:I15)</f>
        <v/>
      </c>
      <c r="J16" s="4">
        <f>SUM(J8:J15)</f>
        <v/>
      </c>
      <c r="K16" s="4">
        <f>SUM(K8:K15)</f>
        <v/>
      </c>
    </row>
    <row r="18">
      <c r="A18" s="2" t="inlineStr">
        <is>
          <t>OBJECTIVE CELL (minimise)</t>
        </is>
      </c>
      <c r="B18">
        <f>F16</f>
        <v/>
      </c>
    </row>
    <row r="20">
      <c r="A20" s="2" t="inlineStr">
        <is>
          <t>HOW TO SOLVE IT IN EXCEL (Data &gt; Solver)</t>
        </is>
      </c>
    </row>
    <row r="21">
      <c r="A21" t="inlineStr">
        <is>
          <t>1. Set Objective:            $F$16</t>
        </is>
      </c>
    </row>
    <row r="22">
      <c r="A22" t="inlineStr">
        <is>
          <t>2. To:                       Min</t>
        </is>
      </c>
    </row>
    <row r="23">
      <c r="A23" t="inlineStr">
        <is>
          <t>3. By Changing Cells:        $F$8:$F$15</t>
        </is>
      </c>
    </row>
    <row r="24">
      <c r="A24" t="inlineStr">
        <is>
          <t>4. Subject to the Constraints:</t>
        </is>
      </c>
    </row>
    <row r="25">
      <c r="A25" t="inlineStr">
        <is>
          <t xml:space="preserve">       $F$8:$F$15  int      (whole sections)</t>
        </is>
      </c>
    </row>
    <row r="26">
      <c r="A26" t="inlineStr">
        <is>
          <t xml:space="preserve">       $F$8:$F$15  &gt;= 1     (every course runs at least one section)</t>
        </is>
      </c>
    </row>
    <row r="27">
      <c r="A27" t="inlineStr">
        <is>
          <t xml:space="preserve">       $H$8:$H$15  &gt;= 0     (seats provided &gt;= seats required)</t>
        </is>
      </c>
    </row>
    <row r="28">
      <c r="A28" t="inlineStr">
        <is>
          <t>5. Solving Method:           Simplex LP</t>
        </is>
      </c>
    </row>
    <row r="29">
      <c r="A29" t="inlineStr">
        <is>
          <t>6. Click Solve.</t>
        </is>
      </c>
    </row>
    <row r="30">
      <c r="A30" t="inlineStr"/>
    </row>
    <row r="31">
      <c r="A31" t="inlineStr">
        <is>
          <t>CHECK: the answer in column F must equal column K (the hand calculation),</t>
        </is>
      </c>
    </row>
    <row r="32">
      <c r="A32" t="inlineStr">
        <is>
          <t>because each course's constraint involves only its own x_c - the model separates</t>
        </is>
      </c>
    </row>
    <row r="33">
      <c r="A33" t="inlineStr">
        <is>
          <t>by course, so by hand x_c = ROUNDUP(D_c / cap).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2" customWidth="1" min="3" max="3"/>
    <col width="14" customWidth="1" min="4" max="4"/>
    <col width="18" customWidth="1" min="5" max="5"/>
    <col width="18" customWidth="1" min="6" max="6"/>
    <col width="16" customWidth="1" min="7" max="7"/>
  </cols>
  <sheetData>
    <row r="1">
      <c r="A1" s="1" t="inlineStr">
        <is>
          <t>MODEL 2 - ALLOCATION OF EXTRA SECTIONS (BINARY 0-1 PROGRAMMING)</t>
        </is>
      </c>
    </row>
    <row r="2">
      <c r="A2" t="inlineStr">
        <is>
          <t>Objective: seat as many students as possible.  Target: use no more than B extra sections.</t>
        </is>
      </c>
    </row>
    <row r="4">
      <c r="A4" s="2" t="inlineStr">
        <is>
          <t>Section capacity (cap)</t>
        </is>
      </c>
      <c r="B4" t="n">
        <v>50</v>
      </c>
    </row>
    <row r="5">
      <c r="A5" s="2" t="inlineStr">
        <is>
          <t>Budget B (extra sections available)</t>
        </is>
      </c>
      <c r="B5" t="n">
        <v>3</v>
      </c>
    </row>
    <row r="6">
      <c r="A6" s="2" t="inlineStr">
        <is>
          <t>Max extra sections per programme (M)</t>
        </is>
      </c>
      <c r="B6" t="n">
        <v>1</v>
      </c>
      <c r="C6" t="inlineStr">
        <is>
          <t>set M = 99 to switch the fairness cap off</t>
        </is>
      </c>
    </row>
    <row r="8" ht="46" customHeight="1">
      <c r="A8" s="3" t="inlineStr">
        <is>
          <t>Course</t>
        </is>
      </c>
      <c r="B8" s="3" t="inlineStr">
        <is>
          <t>Course ID (dataset)</t>
        </is>
      </c>
      <c r="C8" s="3" t="inlineStr">
        <is>
          <t>Programme</t>
        </is>
      </c>
      <c r="D8" s="3" t="inlineStr">
        <is>
          <t>Unmet demand U_c</t>
        </is>
      </c>
      <c r="E8" s="3" t="inlineStr">
        <is>
          <t>Covered if opened  a_c = MIN(cap, U_c)</t>
        </is>
      </c>
      <c r="F8" s="3" t="inlineStr">
        <is>
          <t>Open it?  y_c (0 or 1)  &lt;-- CHANGING CELLS</t>
        </is>
      </c>
      <c r="G8" s="3" t="inlineStr">
        <is>
          <t>Students covered = a_c x y_c</t>
        </is>
      </c>
    </row>
    <row r="9">
      <c r="A9" s="4" t="inlineStr">
        <is>
          <t>C1</t>
        </is>
      </c>
      <c r="B9" s="4" t="inlineStr">
        <is>
          <t>024e9489dcc6</t>
        </is>
      </c>
      <c r="C9" s="4" t="inlineStr">
        <is>
          <t>P1</t>
        </is>
      </c>
      <c r="D9" s="4" t="n">
        <v>46.87</v>
      </c>
      <c r="E9" s="4">
        <f>MIN($B$4,D9)</f>
        <v/>
      </c>
      <c r="F9" s="4" t="n">
        <v>0</v>
      </c>
      <c r="G9" s="4">
        <f>E9*F9</f>
        <v/>
      </c>
    </row>
    <row r="10">
      <c r="A10" s="4" t="inlineStr">
        <is>
          <t>C2</t>
        </is>
      </c>
      <c r="B10" s="4" t="inlineStr">
        <is>
          <t>55c753e07b45</t>
        </is>
      </c>
      <c r="C10" s="4" t="inlineStr">
        <is>
          <t>P1</t>
        </is>
      </c>
      <c r="D10" s="4" t="n">
        <v>41.99</v>
      </c>
      <c r="E10" s="4">
        <f>MIN($B$4,D10)</f>
        <v/>
      </c>
      <c r="F10" s="4" t="n">
        <v>0</v>
      </c>
      <c r="G10" s="4">
        <f>E10*F10</f>
        <v/>
      </c>
    </row>
    <row r="11">
      <c r="A11" s="4" t="inlineStr">
        <is>
          <t>C3</t>
        </is>
      </c>
      <c r="B11" s="4" t="inlineStr">
        <is>
          <t>7741d341a4ef</t>
        </is>
      </c>
      <c r="C11" s="4" t="inlineStr">
        <is>
          <t>P2</t>
        </is>
      </c>
      <c r="D11" s="4" t="n">
        <v>23.36</v>
      </c>
      <c r="E11" s="4">
        <f>MIN($B$4,D11)</f>
        <v/>
      </c>
      <c r="F11" s="4" t="n">
        <v>0</v>
      </c>
      <c r="G11" s="4">
        <f>E11*F11</f>
        <v/>
      </c>
    </row>
    <row r="12">
      <c r="A12" s="4" t="inlineStr">
        <is>
          <t>C4</t>
        </is>
      </c>
      <c r="B12" s="4" t="inlineStr">
        <is>
          <t>0d9a5484f79e</t>
        </is>
      </c>
      <c r="C12" s="4" t="inlineStr">
        <is>
          <t>P2</t>
        </is>
      </c>
      <c r="D12" s="4" t="n">
        <v>20.85</v>
      </c>
      <c r="E12" s="4">
        <f>MIN($B$4,D12)</f>
        <v/>
      </c>
      <c r="F12" s="4" t="n">
        <v>0</v>
      </c>
      <c r="G12" s="4">
        <f>E12*F12</f>
        <v/>
      </c>
    </row>
    <row r="13">
      <c r="A13" s="4" t="inlineStr">
        <is>
          <t>C5</t>
        </is>
      </c>
      <c r="B13" s="4" t="inlineStr">
        <is>
          <t>fc6b5f835bfb</t>
        </is>
      </c>
      <c r="C13" s="4" t="inlineStr">
        <is>
          <t>P3</t>
        </is>
      </c>
      <c r="D13" s="4" t="n">
        <v>18.39</v>
      </c>
      <c r="E13" s="4">
        <f>MIN($B$4,D13)</f>
        <v/>
      </c>
      <c r="F13" s="4" t="n">
        <v>0</v>
      </c>
      <c r="G13" s="4">
        <f>E13*F13</f>
        <v/>
      </c>
    </row>
    <row r="14">
      <c r="A14" s="4" t="inlineStr">
        <is>
          <t>C6</t>
        </is>
      </c>
      <c r="B14" s="4" t="inlineStr">
        <is>
          <t>d1710e41e0ad</t>
        </is>
      </c>
      <c r="C14" s="4" t="inlineStr">
        <is>
          <t>P1</t>
        </is>
      </c>
      <c r="D14" s="4" t="n">
        <v>16.87</v>
      </c>
      <c r="E14" s="4">
        <f>MIN($B$4,D14)</f>
        <v/>
      </c>
      <c r="F14" s="4" t="n">
        <v>0</v>
      </c>
      <c r="G14" s="4">
        <f>E14*F14</f>
        <v/>
      </c>
    </row>
    <row r="15">
      <c r="A15" s="4" t="inlineStr">
        <is>
          <t>C7</t>
        </is>
      </c>
      <c r="B15" s="4" t="inlineStr">
        <is>
          <t>9fad9fb565cc</t>
        </is>
      </c>
      <c r="C15" s="4" t="inlineStr">
        <is>
          <t>P1</t>
        </is>
      </c>
      <c r="D15" s="4" t="n">
        <v>16</v>
      </c>
      <c r="E15" s="4">
        <f>MIN($B$4,D15)</f>
        <v/>
      </c>
      <c r="F15" s="4" t="n">
        <v>0</v>
      </c>
      <c r="G15" s="4">
        <f>E15*F15</f>
        <v/>
      </c>
    </row>
    <row r="16">
      <c r="A16" s="4" t="inlineStr">
        <is>
          <t>C8</t>
        </is>
      </c>
      <c r="B16" s="4" t="inlineStr">
        <is>
          <t>21049fe0067f</t>
        </is>
      </c>
      <c r="C16" s="4" t="inlineStr">
        <is>
          <t>P2</t>
        </is>
      </c>
      <c r="D16" s="4" t="n">
        <v>15.66</v>
      </c>
      <c r="E16" s="4">
        <f>MIN($B$4,D16)</f>
        <v/>
      </c>
      <c r="F16" s="4" t="n">
        <v>0</v>
      </c>
      <c r="G16" s="4">
        <f>E16*F16</f>
        <v/>
      </c>
    </row>
    <row r="17">
      <c r="A17" s="5" t="inlineStr">
        <is>
          <t>TOTAL</t>
        </is>
      </c>
      <c r="B17" s="4" t="n"/>
      <c r="C17" s="4" t="n"/>
      <c r="D17" s="4">
        <f>SUM(D9:D16)</f>
        <v/>
      </c>
      <c r="E17" s="4" t="n"/>
      <c r="F17" s="5">
        <f>SUM(F9:F16)</f>
        <v/>
      </c>
      <c r="G17" s="5">
        <f>SUMPRODUCT(E9:E16,F9:F16)</f>
        <v/>
      </c>
    </row>
    <row r="19">
      <c r="A19" s="2" t="inlineStr">
        <is>
          <t>Programme</t>
        </is>
      </c>
      <c r="B19" s="2" t="inlineStr">
        <is>
          <t>Sections opened</t>
        </is>
      </c>
      <c r="C19" s="2" t="inlineStr">
        <is>
          <t>Limit M</t>
        </is>
      </c>
    </row>
    <row r="20">
      <c r="A20" s="4" t="inlineStr">
        <is>
          <t>P1</t>
        </is>
      </c>
      <c r="B20" s="4">
        <f>SUMIF($C$9:$C$16,A20,$F$9:$F$16)</f>
        <v/>
      </c>
      <c r="C20" s="4">
        <f>$B$6</f>
        <v/>
      </c>
    </row>
    <row r="21">
      <c r="A21" s="4" t="inlineStr">
        <is>
          <t>P2</t>
        </is>
      </c>
      <c r="B21" s="4">
        <f>SUMIF($C$9:$C$16,A21,$F$9:$F$16)</f>
        <v/>
      </c>
      <c r="C21" s="4">
        <f>$B$6</f>
        <v/>
      </c>
    </row>
    <row r="22">
      <c r="A22" s="4" t="inlineStr">
        <is>
          <t>P3</t>
        </is>
      </c>
      <c r="B22" s="4">
        <f>SUMIF($C$9:$C$16,A22,$F$9:$F$16)</f>
        <v/>
      </c>
      <c r="C22" s="4">
        <f>$B$6</f>
        <v/>
      </c>
    </row>
    <row r="24">
      <c r="A24" s="2" t="inlineStr">
        <is>
          <t>OBJECTIVE CELL (maximise)</t>
        </is>
      </c>
      <c r="B24">
        <f>G17</f>
        <v/>
      </c>
    </row>
    <row r="25">
      <c r="A25" s="2" t="inlineStr">
        <is>
          <t>Sections used</t>
        </is>
      </c>
      <c r="B25">
        <f>F17</f>
        <v/>
      </c>
    </row>
    <row r="26">
      <c r="A26" s="2" t="inlineStr">
        <is>
          <t>Unmet demand remaining</t>
        </is>
      </c>
      <c r="B26">
        <f>D17-G17</f>
        <v/>
      </c>
    </row>
    <row r="28">
      <c r="A28" s="2" t="inlineStr">
        <is>
          <t>HOW TO SOLVE IT IN EXCEL (Data &gt; Solver)</t>
        </is>
      </c>
    </row>
    <row r="29">
      <c r="A29" t="inlineStr">
        <is>
          <t>1. Set Objective:            $G$17</t>
        </is>
      </c>
    </row>
    <row r="30">
      <c r="A30" t="inlineStr">
        <is>
          <t>2. To:                       Max</t>
        </is>
      </c>
    </row>
    <row r="31">
      <c r="A31" t="inlineStr">
        <is>
          <t>3. By Changing Cells:        $F$9:$F$16</t>
        </is>
      </c>
    </row>
    <row r="32">
      <c r="A32" t="inlineStr">
        <is>
          <t>4. Subject to the Constraints:</t>
        </is>
      </c>
    </row>
    <row r="33">
      <c r="A33" t="inlineStr">
        <is>
          <t xml:space="preserve">       $F$9:$F$16  bin      (open it or not - nothing in between)</t>
        </is>
      </c>
    </row>
    <row r="34">
      <c r="A34" t="inlineStr">
        <is>
          <t xml:space="preserve">       $F$17  &lt;= $B$5              (budget: at most B extra sections)</t>
        </is>
      </c>
    </row>
    <row r="35">
      <c r="A35" t="inlineStr">
        <is>
          <t xml:space="preserve">       $B$20:$B$22  &lt;= $B$6     (at most M per programme)</t>
        </is>
      </c>
    </row>
    <row r="36">
      <c r="A36" t="inlineStr">
        <is>
          <t>5. Solving Method:           Simplex LP</t>
        </is>
      </c>
    </row>
    <row r="37">
      <c r="A37" t="inlineStr">
        <is>
          <t>6. Click Solve.</t>
        </is>
      </c>
    </row>
    <row r="38">
      <c r="A38" t="inlineStr"/>
    </row>
    <row r="39">
      <c r="A39" t="inlineStr">
        <is>
          <t>BY HAND: every course here has unmet demand below one section's capacity, so one extra</t>
        </is>
      </c>
    </row>
    <row r="40">
      <c r="A40" t="inlineStr">
        <is>
          <t>section clears the whole shortfall. Without the programme cap you simply pick the B</t>
        </is>
      </c>
    </row>
    <row r="41">
      <c r="A41" t="inlineStr">
        <is>
          <t>courses with the largest unmet demand. With M = 1 you may take only one course per</t>
        </is>
      </c>
    </row>
    <row r="42">
      <c r="A42" t="inlineStr">
        <is>
          <t>programme, so the answer changes - that is the fairness cap binding.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54" customWidth="1" min="3" max="3"/>
  </cols>
  <sheetData>
    <row r="1">
      <c r="A1" s="1" t="inlineStr">
        <is>
          <t>EXPECTED ANSWERS - hand, Excel Solver and the app must all agree</t>
        </is>
      </c>
    </row>
    <row r="2">
      <c r="A2" t="inlineStr"/>
      <c r="B2" t="inlineStr"/>
      <c r="C2" t="inlineStr"/>
    </row>
    <row r="3">
      <c r="A3" t="inlineStr">
        <is>
          <t>MODEL 1</t>
        </is>
      </c>
      <c r="B3" t="inlineStr"/>
      <c r="C3" t="inlineStr"/>
    </row>
    <row r="4">
      <c r="A4" s="2" t="inlineStr">
        <is>
          <t>Total sections (minimum)</t>
        </is>
      </c>
      <c r="B4" t="n">
        <v>48</v>
      </c>
      <c r="C4">
        <f> sum of ROUNDUP(D_c / 50)</f>
        <v/>
      </c>
    </row>
    <row r="5">
      <c r="A5" s="2" t="inlineStr">
        <is>
          <t>Current sections</t>
        </is>
      </c>
      <c r="B5" t="n">
        <v>40</v>
      </c>
      <c r="C5" t="inlineStr"/>
    </row>
    <row r="6">
      <c r="A6" s="2" t="inlineStr">
        <is>
          <t>Change</t>
        </is>
      </c>
      <c r="B6" t="n">
        <v>8</v>
      </c>
      <c r="C6" t="inlineStr"/>
    </row>
    <row r="7">
      <c r="A7" t="inlineStr"/>
      <c r="B7" t="inlineStr"/>
      <c r="C7" t="inlineStr"/>
    </row>
    <row r="8">
      <c r="A8" t="inlineStr">
        <is>
          <t>MODEL 2  (budget B = 3)</t>
        </is>
      </c>
      <c r="B8" t="inlineStr"/>
      <c r="C8" t="inlineStr"/>
    </row>
    <row r="9">
      <c r="A9" s="2" t="inlineStr">
        <is>
          <t>Without fairness cap: students covered</t>
        </is>
      </c>
      <c r="B9" t="n">
        <v>112.22</v>
      </c>
      <c r="C9" t="inlineStr">
        <is>
          <t>pick the 3 largest unmet demands</t>
        </is>
      </c>
    </row>
    <row r="10">
      <c r="A10" s="2" t="inlineStr">
        <is>
          <t>With fairness cap M = 1: students covered</t>
        </is>
      </c>
      <c r="B10" t="n">
        <v>88.62</v>
      </c>
      <c r="C10" t="inlineStr">
        <is>
          <t>at most 1 per programme</t>
        </is>
      </c>
    </row>
    <row r="11">
      <c r="A11" s="2" t="inlineStr">
        <is>
          <t>Cost of the fairness cap</t>
        </is>
      </c>
      <c r="B11" t="n">
        <v>23.6</v>
      </c>
      <c r="C11" t="inlineStr">
        <is>
          <t>students</t>
        </is>
      </c>
    </row>
    <row r="12">
      <c r="A12" t="inlineStr"/>
      <c r="B12" t="inlineStr"/>
      <c r="C12" t="inlineStr"/>
    </row>
    <row r="13">
      <c r="A13" t="inlineStr">
        <is>
          <t>NOTE</t>
        </is>
      </c>
      <c r="B13" t="inlineStr"/>
      <c r="C13" t="inlineStr">
        <is>
          <t>The app solves all 3,787 courses; this sheet is the 8-course instance.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2026-10-15T12:47:53Z</dcterms:created>
  <dcterms:modified xmlns:dcterms="http://purl.org/dc/terms/" xmlns:xsi="http://www.w3.org/2001/XMLSchema-instance" xsi:type="dcterms:W3CDTF">2026-10-15T12:47:53Z</dcterms:modified>
</cp:coreProperties>
</file>